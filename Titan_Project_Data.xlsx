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min\Downloads\Delloite\"/>
    </mc:Choice>
  </mc:AlternateContent>
  <xr:revisionPtr revIDLastSave="0" documentId="8_{50057AB3-AA7A-43F5-8450-4884B5D2A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an_Financials" sheetId="1" r:id="rId1"/>
    <sheet name="Titan_Segments" sheetId="2" r:id="rId2"/>
    <sheet name="Peer_Benchmark" sheetId="3" r:id="rId3"/>
    <sheet name="Industry_Context" sheetId="4" r:id="rId4"/>
    <sheet name="Sources_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M4" i="1"/>
  <c r="M5" i="1"/>
  <c r="M6" i="1"/>
  <c r="M3" i="1"/>
  <c r="L4" i="1"/>
  <c r="L5" i="1"/>
  <c r="L6" i="1"/>
  <c r="L3" i="1"/>
  <c r="K4" i="1"/>
  <c r="K5" i="1"/>
  <c r="K6" i="1"/>
  <c r="K3" i="1"/>
  <c r="J4" i="1"/>
  <c r="J5" i="1"/>
  <c r="J6" i="1"/>
  <c r="J3" i="1"/>
</calcChain>
</file>

<file path=xl/sharedStrings.xml><?xml version="1.0" encoding="utf-8"?>
<sst xmlns="http://schemas.openxmlformats.org/spreadsheetml/2006/main" count="87" uniqueCount="67">
  <si>
    <t>FY</t>
  </si>
  <si>
    <t>Revenue_from_operations_₹Cr</t>
  </si>
  <si>
    <t>Total_income_₹Cr</t>
  </si>
  <si>
    <t>EBITDA_proxy_₹Cr</t>
  </si>
  <si>
    <t>PBT_₹Cr</t>
  </si>
  <si>
    <t>PAT_₹Cr</t>
  </si>
  <si>
    <t>Revenue_growth_%</t>
  </si>
  <si>
    <t>EBITDA_margin_%</t>
  </si>
  <si>
    <t>PAT_margin_%</t>
  </si>
  <si>
    <t>FY2022</t>
  </si>
  <si>
    <t>FY2023</t>
  </si>
  <si>
    <t>FY2024</t>
  </si>
  <si>
    <t>FY2025</t>
  </si>
  <si>
    <t>FY2026</t>
  </si>
  <si>
    <t>Watches_revenue_₹Cr</t>
  </si>
  <si>
    <t>Jewellery_revenue_₹Cr</t>
  </si>
  <si>
    <t>Eyecare_revenue_₹Cr</t>
  </si>
  <si>
    <t>Others_revenue_₹Cr</t>
  </si>
  <si>
    <t>Watches_profit_₹Cr</t>
  </si>
  <si>
    <t>Jewellery_profit_₹Cr</t>
  </si>
  <si>
    <t>Eyecare_profit_₹Cr</t>
  </si>
  <si>
    <t>Others_profit_₹Cr</t>
  </si>
  <si>
    <t>Company</t>
  </si>
  <si>
    <t>EBITDA_₹Cr</t>
  </si>
  <si>
    <t>Titan (FY2025)</t>
  </si>
  <si>
    <t>Kalyan Jewellers (FY2025)</t>
  </si>
  <si>
    <t>Senco Gold (FY2025)</t>
  </si>
  <si>
    <t>Ethos (FY2025)</t>
  </si>
  <si>
    <t>Indicator</t>
  </si>
  <si>
    <t>Value</t>
  </si>
  <si>
    <t>Source</t>
  </si>
  <si>
    <t>India gold jewellery demand volume FY2025</t>
  </si>
  <si>
    <t>430.5 tonnes</t>
  </si>
  <si>
    <t>World Gold Council</t>
  </si>
  <si>
    <t>India gold jewellery demand volume change 2025</t>
  </si>
  <si>
    <t>-24% YoY</t>
  </si>
  <si>
    <t>India gold jewellery demand value FY2025</t>
  </si>
  <si>
    <t>US$49 billion</t>
  </si>
  <si>
    <t>India domestic gold price change during 2025</t>
  </si>
  <si>
    <t>+74%</t>
  </si>
  <si>
    <t>India jewellery demand volume Q1 2026</t>
  </si>
  <si>
    <t>66.1 tonnes</t>
  </si>
  <si>
    <t>India jewellery demand value Q1 2026</t>
  </si>
  <si>
    <t>INR 999 billion</t>
  </si>
  <si>
    <t>Dataset</t>
  </si>
  <si>
    <t>Notes</t>
  </si>
  <si>
    <t>Titan consolidated financials FY2022-26</t>
  </si>
  <si>
    <t>Titan Annual Reports 2021-22, 2022-23, 2023-24, 2024-25, 2025-26</t>
  </si>
  <si>
    <t>₹ crore; consolidated figures.</t>
  </si>
  <si>
    <t>Titan standalone segment data FY2022-26</t>
  </si>
  <si>
    <t>₹ crore; standalone segment figures, used consistently for segment trend analysis.</t>
  </si>
  <si>
    <t>Gold market context 2025-26</t>
  </si>
  <si>
    <t>Used only for external market context.</t>
  </si>
  <si>
    <t>Kalyan FY2025</t>
  </si>
  <si>
    <t>Kalyan Jewellers FY2025 Directors Report</t>
  </si>
  <si>
    <t>Consolidated total income/EBITDA/PAT.</t>
  </si>
  <si>
    <t>Senco FY2025</t>
  </si>
  <si>
    <t>Senco Gold FY2026 Annual Report (FY2025 comparative)</t>
  </si>
  <si>
    <t>Ethos FY2025</t>
  </si>
  <si>
    <t>Ethos FY2026 Annual Report (FY2025 comparative)</t>
  </si>
  <si>
    <t>EBITDA Growth %</t>
  </si>
  <si>
    <t>PAT Growth %</t>
  </si>
  <si>
    <t>EBITDA Margin Change</t>
  </si>
  <si>
    <t>PAT Margin Change</t>
  </si>
  <si>
    <t>Revenue CAGR FY22-FY26</t>
  </si>
  <si>
    <t>EBITDA CAGR FY22-FY26</t>
  </si>
  <si>
    <t>PAT CAGR FY22-FY26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</si>
</sst>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Titan_Financials!$H$1</c:f>
              <c:strCache>
                <c:ptCount val="1"/>
                <c:pt idx="0">
                  <c:v>EBITDA_margin_%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Titan_Financials!$A$2:$A$6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Titan_Financials!$H$2:$H$6</c:f>
              <c:numCache>
                <c:formatCode>General</c:formatCode>
                <c:ptCount val="5"/>
                <c:pt idx="0">
                  <c:v>12.31357420865911</c:v>
                </c:pt>
                <c:pt idx="1">
                  <c:v>12.687425091113671</c:v>
                </c:pt>
                <c:pt idx="2">
                  <c:v>11.285041749811111</c:v>
                </c:pt>
                <c:pt idx="3">
                  <c:v>10.140789603229299</c:v>
                </c:pt>
                <c:pt idx="4">
                  <c:v>10.10597258781883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7-4A46-9107-0CE567C1E186}"/>
            </c:ext>
          </c:extLst>
        </c:ser>
        <c:ser>
          <c:idx val="1"/>
          <c:order val="1"/>
          <c:tx>
            <c:strRef>
              <c:f>Titan_Financials!$I$1</c:f>
              <c:strCache>
                <c:ptCount val="1"/>
                <c:pt idx="0">
                  <c:v>PAT_margin_%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Titan_Financials!$A$2:$A$6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Titan_Financials!$I$2:$I$6</c:f>
              <c:numCache>
                <c:formatCode>General</c:formatCode>
                <c:ptCount val="5"/>
                <c:pt idx="0">
                  <c:v>7.5706954155616026</c:v>
                </c:pt>
                <c:pt idx="1">
                  <c:v>8.008218574957807</c:v>
                </c:pt>
                <c:pt idx="2">
                  <c:v>6.7729623961098104</c:v>
                </c:pt>
                <c:pt idx="3">
                  <c:v>5.475698204850513</c:v>
                </c:pt>
                <c:pt idx="4">
                  <c:v>5.7558772805663976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7-4A46-9107-0CE567C1E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23488"/>
        <c:axId val="413645488"/>
      </c:lineChart>
      <c:catAx>
        <c:axId val="9594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45488"/>
        <c:crosses val="autoZero"/>
        <c:auto val="1"/>
        <c:lblAlgn val="ctr"/>
        <c:lblOffset val="100"/>
        <c:noMultiLvlLbl val="0"/>
      </c:catAx>
      <c:valAx>
        <c:axId val="4136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Titan_Financials!$B$1</c:f>
              <c:strCache>
                <c:ptCount val="1"/>
                <c:pt idx="0">
                  <c:v>Revenue_from_operations_₹Cr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Titan_Financials!$A$2:$A$6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Titan_Financials!$B$2:$B$6</c:f>
              <c:numCache>
                <c:formatCode>General</c:formatCode>
                <c:ptCount val="5"/>
                <c:pt idx="0">
                  <c:v>28799</c:v>
                </c:pt>
                <c:pt idx="1">
                  <c:v>40575</c:v>
                </c:pt>
                <c:pt idx="2">
                  <c:v>51084</c:v>
                </c:pt>
                <c:pt idx="3">
                  <c:v>60456</c:v>
                </c:pt>
                <c:pt idx="4">
                  <c:v>87584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E-4CD5-A81D-460FD52FE770}"/>
            </c:ext>
          </c:extLst>
        </c:ser>
        <c:ser>
          <c:idx val="1"/>
          <c:order val="1"/>
          <c:tx>
            <c:strRef>
              <c:f>Titan_Financials!$D$1</c:f>
              <c:strCache>
                <c:ptCount val="1"/>
                <c:pt idx="0">
                  <c:v>EBITDA_proxy_₹Cr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Titan_Financials!$A$2:$A$6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Titan_Financials!$D$2:$D$6</c:f>
              <c:numCache>
                <c:formatCode>General</c:formatCode>
                <c:ptCount val="5"/>
                <c:pt idx="0">
                  <c:v>3575</c:v>
                </c:pt>
                <c:pt idx="1">
                  <c:v>5187</c:v>
                </c:pt>
                <c:pt idx="2">
                  <c:v>5825</c:v>
                </c:pt>
                <c:pt idx="3">
                  <c:v>6180</c:v>
                </c:pt>
                <c:pt idx="4">
                  <c:v>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E-4CD5-A81D-460FD52FE770}"/>
            </c:ext>
          </c:extLst>
        </c:ser>
        <c:ser>
          <c:idx val="2"/>
          <c:order val="2"/>
          <c:tx>
            <c:strRef>
              <c:f>Titan_Financials!$F$1</c:f>
              <c:strCache>
                <c:ptCount val="1"/>
                <c:pt idx="0">
                  <c:v>PAT_₹Cr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Titan_Financials!$A$2:$A$6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Titan_Financials!$F$2:$F$6</c:f>
              <c:numCache>
                <c:formatCode>General</c:formatCode>
                <c:ptCount val="5"/>
                <c:pt idx="0">
                  <c:v>2198</c:v>
                </c:pt>
                <c:pt idx="1">
                  <c:v>3274</c:v>
                </c:pt>
                <c:pt idx="2">
                  <c:v>3496</c:v>
                </c:pt>
                <c:pt idx="3">
                  <c:v>3337</c:v>
                </c:pt>
                <c:pt idx="4">
                  <c:v>5073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E-4CD5-A81D-460FD52FE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13984"/>
        <c:axId val="600630928"/>
      </c:lineChart>
      <c:catAx>
        <c:axId val="9645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30928"/>
        <c:crosses val="autoZero"/>
        <c:auto val="1"/>
        <c:lblAlgn val="ctr"/>
        <c:lblOffset val="100"/>
        <c:noMultiLvlLbl val="0"/>
      </c:catAx>
      <c:valAx>
        <c:axId val="6006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1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7</xdr:row>
      <xdr:rowOff>11430</xdr:rowOff>
    </xdr:from>
    <xdr:to>
      <xdr:col>7</xdr:col>
      <xdr:colOff>91440</xdr:colOff>
      <xdr:row>22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0BE46-1E1E-75D9-0217-5F5AE1EC5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307398</xdr:colOff>
      <xdr:row>6</xdr:row>
      <xdr:rowOff>178378</xdr:rowOff>
    </xdr:from>
    <xdr:to>
      <xdr:col>12</xdr:col>
      <xdr:colOff>38966</xdr:colOff>
      <xdr:row>22</xdr:row>
      <xdr:rowOff>12123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021BA-51B4-677E-A2C8-4EB732AB6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72" workbookViewId="0">
      <selection activeCell="N14" sqref="N14"/>
    </sheetView>
  </sheetViews>
  <sheetFormatPr defaultRowHeight="14.4" x14ac:dyDescent="0.3"/>
  <cols>
    <col min="1" max="1" width="21.44140625" customWidth="1"/>
    <col min="2" max="2" width="27.109375" customWidth="1"/>
    <col min="3" max="3" width="15.44140625" customWidth="1"/>
    <col min="4" max="4" width="16.21875" customWidth="1"/>
    <col min="5" max="5" width="9.109375" customWidth="1"/>
    <col min="6" max="6" width="8.33203125" customWidth="1"/>
    <col min="7" max="7" width="17.77734375" customWidth="1"/>
    <col min="8" max="8" width="15.109375" customWidth="1"/>
    <col min="9" max="9" width="15.6640625" customWidth="1"/>
    <col min="10" max="10" width="15.33203125" customWidth="1"/>
    <col min="11" max="11" width="12.109375" customWidth="1"/>
    <col min="12" max="12" width="12.33203125" customWidth="1"/>
    <col min="13" max="13" width="15.88671875" customWidth="1"/>
    <col min="14" max="14" width="10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60</v>
      </c>
      <c r="K1" s="2" t="s">
        <v>61</v>
      </c>
      <c r="L1" s="2" t="s">
        <v>62</v>
      </c>
      <c r="M1" s="2" t="s">
        <v>63</v>
      </c>
    </row>
    <row r="2" spans="1:13" x14ac:dyDescent="0.3">
      <c r="A2" t="s">
        <v>9</v>
      </c>
      <c r="B2">
        <v>28799</v>
      </c>
      <c r="C2">
        <v>29033</v>
      </c>
      <c r="D2">
        <v>3575</v>
      </c>
      <c r="E2">
        <v>2904</v>
      </c>
      <c r="F2">
        <v>2198</v>
      </c>
      <c r="H2">
        <v>12.31357420865911</v>
      </c>
      <c r="I2">
        <v>7.5706954155616026</v>
      </c>
      <c r="J2" s="2"/>
      <c r="K2" s="2"/>
      <c r="L2" s="2"/>
      <c r="M2" s="2"/>
    </row>
    <row r="3" spans="1:13" x14ac:dyDescent="0.3">
      <c r="A3" t="s">
        <v>10</v>
      </c>
      <c r="B3">
        <v>40575</v>
      </c>
      <c r="C3">
        <v>40883</v>
      </c>
      <c r="D3">
        <v>5187</v>
      </c>
      <c r="E3">
        <v>4447</v>
      </c>
      <c r="F3">
        <v>3274</v>
      </c>
      <c r="G3">
        <v>40.890308691274022</v>
      </c>
      <c r="H3">
        <v>12.687425091113671</v>
      </c>
      <c r="I3">
        <v>8.008218574957807</v>
      </c>
      <c r="J3">
        <f>(D3/D2)-1</f>
        <v>0.45090909090909093</v>
      </c>
      <c r="K3">
        <f>(F3/F2)-1</f>
        <v>0.48953594176524118</v>
      </c>
      <c r="L3">
        <f>H3-H2</f>
        <v>0.37385088245456011</v>
      </c>
      <c r="M3">
        <f>I3-I2</f>
        <v>0.43752315939620434</v>
      </c>
    </row>
    <row r="4" spans="1:13" x14ac:dyDescent="0.3">
      <c r="A4" t="s">
        <v>11</v>
      </c>
      <c r="B4">
        <v>51084</v>
      </c>
      <c r="C4">
        <v>51617</v>
      </c>
      <c r="D4">
        <v>5825</v>
      </c>
      <c r="E4">
        <v>4623</v>
      </c>
      <c r="F4">
        <v>3496</v>
      </c>
      <c r="G4">
        <v>25.90018484288354</v>
      </c>
      <c r="H4">
        <v>11.285041749811111</v>
      </c>
      <c r="I4">
        <v>6.7729623961098104</v>
      </c>
      <c r="J4">
        <f t="shared" ref="J4:J6" si="0">(D4/D3)-1</f>
        <v>0.12299980721033354</v>
      </c>
      <c r="K4">
        <f t="shared" ref="K4:K6" si="1">(F4/F3)-1</f>
        <v>6.7806963958460642E-2</v>
      </c>
      <c r="L4">
        <f t="shared" ref="L4:L6" si="2">H4-H3</f>
        <v>-1.4023833413025599</v>
      </c>
      <c r="M4">
        <f t="shared" ref="M4:M6" si="3">I4-I3</f>
        <v>-1.2352561788479965</v>
      </c>
    </row>
    <row r="5" spans="1:13" x14ac:dyDescent="0.3">
      <c r="A5" t="s">
        <v>12</v>
      </c>
      <c r="B5">
        <v>60456</v>
      </c>
      <c r="C5">
        <v>60942</v>
      </c>
      <c r="D5">
        <v>6180</v>
      </c>
      <c r="E5">
        <v>4535</v>
      </c>
      <c r="F5">
        <v>3337</v>
      </c>
      <c r="G5">
        <v>18.34625322997416</v>
      </c>
      <c r="H5">
        <v>10.140789603229299</v>
      </c>
      <c r="I5">
        <v>5.475698204850513</v>
      </c>
      <c r="J5">
        <f t="shared" si="0"/>
        <v>6.0944206008583635E-2</v>
      </c>
      <c r="K5">
        <f t="shared" si="1"/>
        <v>-4.5480549199084619E-2</v>
      </c>
      <c r="L5">
        <f t="shared" si="2"/>
        <v>-1.1442521465818114</v>
      </c>
      <c r="M5">
        <f t="shared" si="3"/>
        <v>-1.2972641912592975</v>
      </c>
    </row>
    <row r="6" spans="1:13" x14ac:dyDescent="0.3">
      <c r="A6" t="s">
        <v>13</v>
      </c>
      <c r="B6">
        <v>87584</v>
      </c>
      <c r="C6">
        <v>88136</v>
      </c>
      <c r="D6">
        <v>8907</v>
      </c>
      <c r="E6">
        <v>6801</v>
      </c>
      <c r="F6">
        <v>5073</v>
      </c>
      <c r="G6">
        <v>44.872303824268897</v>
      </c>
      <c r="H6">
        <v>10.10597258781883</v>
      </c>
      <c r="I6">
        <v>5.7558772805663976</v>
      </c>
      <c r="J6">
        <f t="shared" si="0"/>
        <v>0.4412621359223301</v>
      </c>
      <c r="K6">
        <f t="shared" si="1"/>
        <v>0.52022774947557693</v>
      </c>
      <c r="L6">
        <f t="shared" si="2"/>
        <v>-3.4817015410469665E-2</v>
      </c>
      <c r="M6">
        <f t="shared" si="3"/>
        <v>0.28017907571588463</v>
      </c>
    </row>
    <row r="8" spans="1:13" x14ac:dyDescent="0.3">
      <c r="A8" t="s">
        <v>64</v>
      </c>
      <c r="B8">
        <f>(B6/B2)^(1/4)-1</f>
        <v>0.3205712618869776</v>
      </c>
    </row>
    <row r="9" spans="1:13" x14ac:dyDescent="0.3">
      <c r="A9" t="s">
        <v>65</v>
      </c>
      <c r="B9">
        <f>(D6/D2)^(1/4)-1</f>
        <v>0.25635927871762609</v>
      </c>
    </row>
    <row r="10" spans="1:13" x14ac:dyDescent="0.3">
      <c r="A10" t="s">
        <v>66</v>
      </c>
      <c r="B10">
        <f>(F6/F2)^(1/4)-1</f>
        <v>0.2325634738019553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">
      <c r="A2" t="s">
        <v>9</v>
      </c>
      <c r="B2">
        <v>2309</v>
      </c>
      <c r="C2">
        <v>24313</v>
      </c>
      <c r="D2">
        <v>517</v>
      </c>
      <c r="E2">
        <v>154</v>
      </c>
      <c r="F2">
        <v>108</v>
      </c>
      <c r="G2">
        <v>3027</v>
      </c>
      <c r="H2">
        <v>50</v>
      </c>
      <c r="I2">
        <v>-36</v>
      </c>
    </row>
    <row r="3" spans="1:9" x14ac:dyDescent="0.3">
      <c r="A3" t="s">
        <v>10</v>
      </c>
      <c r="B3">
        <v>3296</v>
      </c>
      <c r="C3">
        <v>34105</v>
      </c>
      <c r="D3">
        <v>689</v>
      </c>
      <c r="E3">
        <v>295</v>
      </c>
      <c r="F3">
        <v>413</v>
      </c>
      <c r="G3">
        <v>4363</v>
      </c>
      <c r="H3">
        <v>98</v>
      </c>
      <c r="I3">
        <v>-78</v>
      </c>
    </row>
    <row r="4" spans="1:9" x14ac:dyDescent="0.3">
      <c r="A4" t="s">
        <v>11</v>
      </c>
      <c r="B4">
        <v>3904</v>
      </c>
      <c r="C4">
        <v>42292</v>
      </c>
      <c r="D4">
        <v>724</v>
      </c>
      <c r="E4">
        <v>378</v>
      </c>
      <c r="F4">
        <v>397</v>
      </c>
      <c r="G4">
        <v>4726</v>
      </c>
      <c r="H4">
        <v>85</v>
      </c>
      <c r="I4">
        <v>-93</v>
      </c>
    </row>
    <row r="5" spans="1:9" x14ac:dyDescent="0.3">
      <c r="A5" t="s">
        <v>12</v>
      </c>
      <c r="B5">
        <v>4576</v>
      </c>
      <c r="C5">
        <v>49227</v>
      </c>
      <c r="D5">
        <v>796</v>
      </c>
      <c r="E5">
        <v>406</v>
      </c>
      <c r="F5">
        <v>553</v>
      </c>
      <c r="G5">
        <v>4764</v>
      </c>
      <c r="H5">
        <v>85</v>
      </c>
      <c r="I5">
        <v>-124</v>
      </c>
    </row>
    <row r="6" spans="1:9" x14ac:dyDescent="0.3">
      <c r="A6" t="s">
        <v>13</v>
      </c>
      <c r="B6">
        <v>5233</v>
      </c>
      <c r="C6">
        <v>71108</v>
      </c>
      <c r="D6">
        <v>907</v>
      </c>
      <c r="E6">
        <v>508</v>
      </c>
      <c r="F6">
        <v>842</v>
      </c>
      <c r="G6">
        <v>6601</v>
      </c>
      <c r="H6">
        <v>84</v>
      </c>
      <c r="I6">
        <v>-114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22</v>
      </c>
      <c r="B1" s="1" t="s">
        <v>2</v>
      </c>
      <c r="C1" s="1" t="s">
        <v>23</v>
      </c>
      <c r="D1" s="1" t="s">
        <v>5</v>
      </c>
      <c r="E1" s="1" t="s">
        <v>7</v>
      </c>
      <c r="F1" s="1" t="s">
        <v>8</v>
      </c>
    </row>
    <row r="2" spans="1:6" x14ac:dyDescent="0.3">
      <c r="A2" t="s">
        <v>24</v>
      </c>
      <c r="B2">
        <v>60942</v>
      </c>
      <c r="C2">
        <v>6180</v>
      </c>
      <c r="D2">
        <v>3337</v>
      </c>
      <c r="E2">
        <v>10.140789603229299</v>
      </c>
      <c r="F2">
        <v>5.475698204850513</v>
      </c>
    </row>
    <row r="3" spans="1:6" x14ac:dyDescent="0.3">
      <c r="A3" t="s">
        <v>25</v>
      </c>
      <c r="B3">
        <v>25189.667000000001</v>
      </c>
      <c r="C3">
        <v>1517.2</v>
      </c>
      <c r="D3">
        <v>714.173</v>
      </c>
      <c r="E3">
        <v>6.0231046325463531</v>
      </c>
      <c r="F3">
        <v>2.8351823785522852</v>
      </c>
    </row>
    <row r="4" spans="1:6" x14ac:dyDescent="0.3">
      <c r="A4" t="s">
        <v>26</v>
      </c>
      <c r="B4">
        <v>6382.6390000000001</v>
      </c>
      <c r="C4">
        <v>367.63099999999997</v>
      </c>
      <c r="D4">
        <v>159.309</v>
      </c>
      <c r="E4">
        <v>5.7598588922231064</v>
      </c>
      <c r="F4">
        <v>2.4959738440478931</v>
      </c>
    </row>
    <row r="5" spans="1:6" x14ac:dyDescent="0.3">
      <c r="A5" t="s">
        <v>27</v>
      </c>
      <c r="B5">
        <v>1275.9269999999999</v>
      </c>
      <c r="C5">
        <v>214.3</v>
      </c>
      <c r="D5">
        <v>96.3</v>
      </c>
      <c r="E5">
        <v>16.79563172501248</v>
      </c>
      <c r="F5">
        <v>7.5474537336383669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28</v>
      </c>
      <c r="B1" s="1" t="s">
        <v>29</v>
      </c>
      <c r="C1" s="1" t="s">
        <v>30</v>
      </c>
    </row>
    <row r="2" spans="1:3" x14ac:dyDescent="0.3">
      <c r="A2" t="s">
        <v>31</v>
      </c>
      <c r="B2" t="s">
        <v>32</v>
      </c>
      <c r="C2" t="s">
        <v>33</v>
      </c>
    </row>
    <row r="3" spans="1:3" x14ac:dyDescent="0.3">
      <c r="A3" t="s">
        <v>34</v>
      </c>
      <c r="B3" t="s">
        <v>35</v>
      </c>
      <c r="C3" t="s">
        <v>33</v>
      </c>
    </row>
    <row r="4" spans="1:3" x14ac:dyDescent="0.3">
      <c r="A4" t="s">
        <v>36</v>
      </c>
      <c r="B4" t="s">
        <v>37</v>
      </c>
      <c r="C4" t="s">
        <v>33</v>
      </c>
    </row>
    <row r="5" spans="1:3" x14ac:dyDescent="0.3">
      <c r="A5" t="s">
        <v>38</v>
      </c>
      <c r="B5" t="s">
        <v>39</v>
      </c>
      <c r="C5" t="s">
        <v>33</v>
      </c>
    </row>
    <row r="6" spans="1:3" x14ac:dyDescent="0.3">
      <c r="A6" t="s">
        <v>40</v>
      </c>
      <c r="B6" t="s">
        <v>41</v>
      </c>
      <c r="C6" t="s">
        <v>33</v>
      </c>
    </row>
    <row r="7" spans="1:3" x14ac:dyDescent="0.3">
      <c r="A7" t="s">
        <v>42</v>
      </c>
      <c r="B7" t="s">
        <v>43</v>
      </c>
      <c r="C7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44</v>
      </c>
      <c r="B1" s="1" t="s">
        <v>30</v>
      </c>
      <c r="C1" s="1" t="s">
        <v>45</v>
      </c>
    </row>
    <row r="2" spans="1:3" x14ac:dyDescent="0.3">
      <c r="A2" t="s">
        <v>46</v>
      </c>
      <c r="B2" t="s">
        <v>47</v>
      </c>
      <c r="C2" t="s">
        <v>48</v>
      </c>
    </row>
    <row r="3" spans="1:3" x14ac:dyDescent="0.3">
      <c r="A3" t="s">
        <v>49</v>
      </c>
      <c r="B3" t="s">
        <v>47</v>
      </c>
      <c r="C3" t="s">
        <v>50</v>
      </c>
    </row>
    <row r="4" spans="1:3" x14ac:dyDescent="0.3">
      <c r="A4" t="s">
        <v>51</v>
      </c>
      <c r="B4" t="s">
        <v>33</v>
      </c>
      <c r="C4" t="s">
        <v>52</v>
      </c>
    </row>
    <row r="5" spans="1:3" x14ac:dyDescent="0.3">
      <c r="A5" t="s">
        <v>53</v>
      </c>
      <c r="B5" t="s">
        <v>54</v>
      </c>
      <c r="C5" t="s">
        <v>55</v>
      </c>
    </row>
    <row r="6" spans="1:3" x14ac:dyDescent="0.3">
      <c r="A6" t="s">
        <v>56</v>
      </c>
      <c r="B6" t="s">
        <v>57</v>
      </c>
      <c r="C6" t="s">
        <v>55</v>
      </c>
    </row>
    <row r="7" spans="1:3" x14ac:dyDescent="0.3">
      <c r="A7" t="s">
        <v>58</v>
      </c>
      <c r="B7" t="s">
        <v>59</v>
      </c>
      <c r="C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Titan_Financials</vt:lpstr>
      <vt:lpstr>Titan_Segments</vt:lpstr>
      <vt:lpstr>Peer_Benchmark</vt:lpstr>
      <vt:lpstr>Industry_Context</vt:lpstr>
      <vt:lpstr>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yamini s</cp:lastModifiedBy>
  <dcterms:created xsi:type="dcterms:W3CDTF">2026-09-28T19:47:54Z</dcterms:created>
  <dcterms:modified xsi:type="dcterms:W3CDTF">2026-09-28T20:25:52Z</dcterms:modified>
</cp:coreProperties>
</file>